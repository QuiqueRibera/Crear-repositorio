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314994E-7DFF-4657-B6C5-6C0F54BFB94C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Importe becas" sheetId="1" r:id="rId1"/>
    <sheet name="Hoja1" sheetId="3" r:id="rId2"/>
    <sheet name="Comunidad Valenciana" sheetId="4" r:id="rId3"/>
    <sheet name="Becado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G4" i="4"/>
  <c r="H4" i="4"/>
  <c r="I4" i="4"/>
  <c r="J4" i="4"/>
  <c r="K4" i="4"/>
  <c r="B4" i="4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21" i="1"/>
  <c r="D38" i="1"/>
  <c r="E38" i="1"/>
  <c r="F38" i="1"/>
  <c r="G38" i="1"/>
  <c r="H38" i="1"/>
  <c r="I38" i="1"/>
  <c r="J38" i="1"/>
  <c r="K38" i="1"/>
  <c r="C38" i="1"/>
  <c r="D21" i="1"/>
  <c r="E21" i="1"/>
  <c r="F21" i="1"/>
  <c r="G21" i="1"/>
  <c r="H21" i="1"/>
  <c r="I21" i="1"/>
  <c r="J21" i="1"/>
  <c r="K21" i="1"/>
  <c r="D22" i="1"/>
  <c r="E22" i="1"/>
  <c r="F22" i="1"/>
  <c r="G22" i="1"/>
  <c r="H22" i="1"/>
  <c r="I22" i="1"/>
  <c r="J22" i="1"/>
  <c r="K22" i="1"/>
  <c r="D23" i="1"/>
  <c r="E23" i="1"/>
  <c r="F23" i="1"/>
  <c r="G23" i="1"/>
  <c r="H23" i="1"/>
  <c r="I23" i="1"/>
  <c r="J23" i="1"/>
  <c r="K23" i="1"/>
  <c r="D24" i="1"/>
  <c r="E24" i="1"/>
  <c r="F24" i="1"/>
  <c r="G24" i="1"/>
  <c r="H24" i="1"/>
  <c r="I24" i="1"/>
  <c r="J24" i="1"/>
  <c r="K24" i="1"/>
  <c r="D25" i="1"/>
  <c r="E25" i="1"/>
  <c r="F25" i="1"/>
  <c r="G25" i="1"/>
  <c r="H25" i="1"/>
  <c r="I25" i="1"/>
  <c r="J25" i="1"/>
  <c r="K25" i="1"/>
  <c r="D26" i="1"/>
  <c r="E26" i="1"/>
  <c r="F26" i="1"/>
  <c r="G26" i="1"/>
  <c r="H26" i="1"/>
  <c r="I26" i="1"/>
  <c r="J26" i="1"/>
  <c r="K26" i="1"/>
  <c r="D27" i="1"/>
  <c r="E27" i="1"/>
  <c r="F27" i="1"/>
  <c r="G27" i="1"/>
  <c r="H27" i="1"/>
  <c r="I27" i="1"/>
  <c r="J27" i="1"/>
  <c r="K27" i="1"/>
  <c r="D28" i="1"/>
  <c r="E28" i="1"/>
  <c r="F28" i="1"/>
  <c r="G28" i="1"/>
  <c r="H28" i="1"/>
  <c r="I28" i="1"/>
  <c r="J28" i="1"/>
  <c r="K28" i="1"/>
  <c r="D29" i="1"/>
  <c r="E29" i="1"/>
  <c r="F29" i="1"/>
  <c r="G29" i="1"/>
  <c r="H29" i="1"/>
  <c r="I29" i="1"/>
  <c r="J29" i="1"/>
  <c r="K29" i="1"/>
  <c r="D30" i="1"/>
  <c r="E30" i="1"/>
  <c r="F30" i="1"/>
  <c r="G30" i="1"/>
  <c r="H30" i="1"/>
  <c r="I30" i="1"/>
  <c r="J30" i="1"/>
  <c r="K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D33" i="1"/>
  <c r="E33" i="1"/>
  <c r="F33" i="1"/>
  <c r="G33" i="1"/>
  <c r="H33" i="1"/>
  <c r="I33" i="1"/>
  <c r="J33" i="1"/>
  <c r="K33" i="1"/>
  <c r="D34" i="1"/>
  <c r="E34" i="1"/>
  <c r="F34" i="1"/>
  <c r="G34" i="1"/>
  <c r="H34" i="1"/>
  <c r="I34" i="1"/>
  <c r="J34" i="1"/>
  <c r="K34" i="1"/>
  <c r="D35" i="1"/>
  <c r="E35" i="1"/>
  <c r="F35" i="1"/>
  <c r="G35" i="1"/>
  <c r="H35" i="1"/>
  <c r="I35" i="1"/>
  <c r="J35" i="1"/>
  <c r="K35" i="1"/>
  <c r="D36" i="1"/>
  <c r="E36" i="1"/>
  <c r="F36" i="1"/>
  <c r="G36" i="1"/>
  <c r="H36" i="1"/>
  <c r="I36" i="1"/>
  <c r="J36" i="1"/>
  <c r="K36" i="1"/>
  <c r="D37" i="1"/>
  <c r="E37" i="1"/>
  <c r="F37" i="1"/>
  <c r="G37" i="1"/>
  <c r="H37" i="1"/>
  <c r="I37" i="1"/>
  <c r="J37" i="1"/>
  <c r="K37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1" i="1"/>
  <c r="K19" i="1" l="1"/>
  <c r="C19" i="1"/>
  <c r="D19" i="1"/>
  <c r="E19" i="1"/>
  <c r="F19" i="1"/>
  <c r="G19" i="1"/>
  <c r="H19" i="1"/>
  <c r="I19" i="1"/>
  <c r="J19" i="1"/>
  <c r="B19" i="1"/>
  <c r="E9" i="3" l="1"/>
  <c r="E13" i="3"/>
  <c r="E17" i="3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D10" i="3"/>
  <c r="E10" i="3" s="1"/>
  <c r="D11" i="3"/>
  <c r="E11" i="3" s="1"/>
  <c r="D12" i="3"/>
  <c r="E12" i="3" s="1"/>
  <c r="D13" i="3"/>
  <c r="D14" i="3"/>
  <c r="E14" i="3" s="1"/>
  <c r="D15" i="3"/>
  <c r="E15" i="3" s="1"/>
  <c r="D16" i="3"/>
  <c r="E16" i="3" s="1"/>
  <c r="D17" i="3"/>
  <c r="D18" i="3"/>
  <c r="E18" i="3" s="1"/>
  <c r="D2" i="3"/>
  <c r="E2" i="3" s="1"/>
</calcChain>
</file>

<file path=xl/sharedStrings.xml><?xml version="1.0" encoding="utf-8"?>
<sst xmlns="http://schemas.openxmlformats.org/spreadsheetml/2006/main" count="116" uniqueCount="39">
  <si>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</si>
  <si>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</si>
  <si>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</si>
  <si>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</si>
  <si>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</si>
  <si>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</si>
  <si>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</si>
  <si>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</si>
  <si>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</si>
  <si>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</si>
  <si>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Andalucía</t>
  </si>
  <si>
    <t>Aragón</t>
  </si>
  <si>
    <t>Canarias</t>
  </si>
  <si>
    <t>Cantabria</t>
  </si>
  <si>
    <t>Castilla y León</t>
  </si>
  <si>
    <t>Castilla- La Mancha</t>
  </si>
  <si>
    <t>Cataluña</t>
  </si>
  <si>
    <t>Comunitat Valenciana</t>
  </si>
  <si>
    <t>Extremadura</t>
  </si>
  <si>
    <t>Galicia</t>
  </si>
  <si>
    <t>Navarra(Comunidad Foral de)</t>
  </si>
  <si>
    <t>País Vasco</t>
  </si>
  <si>
    <t>Asturias. Principado de</t>
  </si>
  <si>
    <t>Balears. Illes</t>
  </si>
  <si>
    <t>Madrid. Comunidad de</t>
  </si>
  <si>
    <t>Murcia. Región de</t>
  </si>
  <si>
    <t>Rioja. La</t>
  </si>
  <si>
    <t>Asturias Principado de</t>
  </si>
  <si>
    <t>Balears Illes</t>
  </si>
  <si>
    <t>Madrid Comunidad de</t>
  </si>
  <si>
    <t>Murcia Región de</t>
  </si>
  <si>
    <t>Rioja La</t>
  </si>
  <si>
    <t>Ingresos</t>
  </si>
  <si>
    <t>Becados</t>
  </si>
  <si>
    <t>Total</t>
  </si>
  <si>
    <t>2008-2018</t>
  </si>
  <si>
    <t xml:space="preserve">Importe </t>
  </si>
  <si>
    <t>Curso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</si>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</sst>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2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0" fontId="1" fillId="0" borderId="0" xfId="0" applyNumberFormat="1" applyFont="1" applyAlignment="1">
      <alignment horizontal="right"/>
    </xf>
    <xf numFmtId="10" fontId="0" fillId="0" borderId="0" xfId="1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2" fontId="0" fillId="0" borderId="0" xfId="0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Inversión</a:t>
            </a:r>
            <a:r>
              <a:rPr lang="es-ES" baseline="0"/>
              <a:t> en becas por CCAA y beca media por becado </a:t>
            </a:r>
          </a:p>
          <a:p>
            <a:pPr>
              <a:defRPr/>
            </a:pPr>
            <a:r>
              <a:rPr lang="es-ES" baseline="0"/>
              <a:t>2008-2009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672592899571764"/>
          <c:y val="0.19700214132762311"/>
          <c:w val="0.67202721370355023"/>
          <c:h val="0.44410825788104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Hoja1!$A$2:$A$18</c:f>
              <c:strCache>
                <c:ptCount val="17"/>
                <c:pt idx="0">
                  <c:v>Andalucía</c:v>
                </c:pt>
                <c:pt idx="1">
                  <c:v>Aragón</c:v>
                </c:pt>
                <c:pt idx="2">
                  <c:v>Asturias Principado de</c:v>
                </c:pt>
                <c:pt idx="3">
                  <c:v>Balears Illes</c:v>
                </c:pt>
                <c:pt idx="4">
                  <c:v>Canarias</c:v>
                </c:pt>
                <c:pt idx="5">
                  <c:v>Cantabria</c:v>
                </c:pt>
                <c:pt idx="6">
                  <c:v>Castilla y León</c:v>
                </c:pt>
                <c:pt idx="7">
                  <c:v>Castilla- La Mancha</c:v>
                </c:pt>
                <c:pt idx="8">
                  <c:v>Cataluña</c:v>
                </c:pt>
                <c:pt idx="9">
                  <c:v>Comunitat Valenciana</c:v>
                </c:pt>
                <c:pt idx="10">
                  <c:v>Extremadura</c:v>
                </c:pt>
                <c:pt idx="11">
                  <c:v>Galicia</c:v>
                </c:pt>
                <c:pt idx="12">
                  <c:v>Madrid Comunidad de</c:v>
                </c:pt>
                <c:pt idx="13">
                  <c:v>Murcia Región de</c:v>
                </c:pt>
                <c:pt idx="14">
                  <c:v>Navarra(Comunidad Foral de)</c:v>
                </c:pt>
                <c:pt idx="15">
                  <c:v>País Vasco</c:v>
                </c:pt>
                <c:pt idx="16">
                  <c:v>Rioja La</c:v>
                </c:pt>
              </c:strCache>
            </c:strRef>
          </c:cat>
          <c:val>
            <c:numRef>
              <c:f>Hoja1!$B$2:$B$18</c:f>
              <c:numCache>
                <c:formatCode>0.0</c:formatCode>
                <c:ptCount val="17"/>
                <c:pt idx="0">
                  <c:v>215321.60000000001</c:v>
                </c:pt>
                <c:pt idx="1">
                  <c:v>16778.599999999999</c:v>
                </c:pt>
                <c:pt idx="2">
                  <c:v>12853.1</c:v>
                </c:pt>
                <c:pt idx="3">
                  <c:v>5426.5</c:v>
                </c:pt>
                <c:pt idx="4">
                  <c:v>40227.699999999997</c:v>
                </c:pt>
                <c:pt idx="5">
                  <c:v>6521.7</c:v>
                </c:pt>
                <c:pt idx="6">
                  <c:v>70895.100000000006</c:v>
                </c:pt>
                <c:pt idx="7">
                  <c:v>36275.199999999997</c:v>
                </c:pt>
                <c:pt idx="8">
                  <c:v>75649.600000000006</c:v>
                </c:pt>
                <c:pt idx="9">
                  <c:v>90939.1</c:v>
                </c:pt>
                <c:pt idx="10">
                  <c:v>30426.7</c:v>
                </c:pt>
                <c:pt idx="11">
                  <c:v>61070.5</c:v>
                </c:pt>
                <c:pt idx="12">
                  <c:v>109971.9</c:v>
                </c:pt>
                <c:pt idx="13">
                  <c:v>28672.9</c:v>
                </c:pt>
                <c:pt idx="14">
                  <c:v>10438.4</c:v>
                </c:pt>
                <c:pt idx="15">
                  <c:v>24858.9</c:v>
                </c:pt>
                <c:pt idx="16">
                  <c:v>2592.3000000000002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A-4CFD-B7D6-745AABDCE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7557624"/>
        <c:axId val="477564184"/>
      </c:barChart>
      <c:lineChart>
        <c:grouping val="standard"/>
        <c:varyColors val="0"/>
        <c:ser>
          <c:idx val="1"/>
          <c:order val="1"/>
          <c:tx>
            <c:strRef>
              <c:f>Hoja1!$C$1</c:f>
              <c:strCache>
                <c:ptCount val="1"/>
                <c:pt idx="0">
                  <c:v>Becados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Hoja1!$A$2:$A$18</c:f>
              <c:strCache>
                <c:ptCount val="17"/>
                <c:pt idx="0">
                  <c:v>Andalucía</c:v>
                </c:pt>
                <c:pt idx="1">
                  <c:v>Aragón</c:v>
                </c:pt>
                <c:pt idx="2">
                  <c:v>Asturias Principado de</c:v>
                </c:pt>
                <c:pt idx="3">
                  <c:v>Balears Illes</c:v>
                </c:pt>
                <c:pt idx="4">
                  <c:v>Canarias</c:v>
                </c:pt>
                <c:pt idx="5">
                  <c:v>Cantabria</c:v>
                </c:pt>
                <c:pt idx="6">
                  <c:v>Castilla y León</c:v>
                </c:pt>
                <c:pt idx="7">
                  <c:v>Castilla- La Mancha</c:v>
                </c:pt>
                <c:pt idx="8">
                  <c:v>Cataluña</c:v>
                </c:pt>
                <c:pt idx="9">
                  <c:v>Comunitat Valenciana</c:v>
                </c:pt>
                <c:pt idx="10">
                  <c:v>Extremadura</c:v>
                </c:pt>
                <c:pt idx="11">
                  <c:v>Galicia</c:v>
                </c:pt>
                <c:pt idx="12">
                  <c:v>Madrid Comunidad de</c:v>
                </c:pt>
                <c:pt idx="13">
                  <c:v>Murcia Región de</c:v>
                </c:pt>
                <c:pt idx="14">
                  <c:v>Navarra(Comunidad Foral de)</c:v>
                </c:pt>
                <c:pt idx="15">
                  <c:v>País Vasco</c:v>
                </c:pt>
                <c:pt idx="16">
                  <c:v>Rioja La</c:v>
                </c:pt>
              </c:strCache>
            </c:strRef>
          </c:cat>
          <c:val>
            <c:numRef>
              <c:f>Hoja1!$E$2:$E$18</c:f>
              <c:numCache>
                <c:formatCode>0</c:formatCode>
                <c:ptCount val="17"/>
                <c:pt idx="0">
                  <c:v>2504.8463274470114</c:v>
                </c:pt>
                <c:pt idx="1">
                  <c:v>2024.6892723542896</c:v>
                </c:pt>
                <c:pt idx="2">
                  <c:v>2035.9733882464757</c:v>
                </c:pt>
                <c:pt idx="3">
                  <c:v>1674.8456790123455</c:v>
                </c:pt>
                <c:pt idx="4">
                  <c:v>2309.14987658573</c:v>
                </c:pt>
                <c:pt idx="5">
                  <c:v>1767.8774735700731</c:v>
                </c:pt>
                <c:pt idx="6">
                  <c:v>2495.0763708031254</c:v>
                </c:pt>
                <c:pt idx="7">
                  <c:v>2547.057997472265</c:v>
                </c:pt>
                <c:pt idx="8">
                  <c:v>1874.3242238794878</c:v>
                </c:pt>
                <c:pt idx="9">
                  <c:v>2092.3337091319058</c:v>
                </c:pt>
                <c:pt idx="10">
                  <c:v>2714.2462087421945</c:v>
                </c:pt>
                <c:pt idx="11">
                  <c:v>2550.661988890281</c:v>
                </c:pt>
                <c:pt idx="12">
                  <c:v>1980.0129633964098</c:v>
                </c:pt>
                <c:pt idx="13">
                  <c:v>2337.7823073787199</c:v>
                </c:pt>
                <c:pt idx="14">
                  <c:v>2224.7229326513216</c:v>
                </c:pt>
                <c:pt idx="15">
                  <c:v>1906.7960420342106</c:v>
                </c:pt>
                <c:pt idx="16">
                  <c:v>1897.7306002928258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A-4CFD-B7D6-745AABDCE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246592"/>
        <c:axId val="484246264"/>
      </c:lineChart>
      <c:catAx>
        <c:axId val="477557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564184"/>
        <c:crosses val="autoZero"/>
        <c:auto val="1"/>
        <c:lblAlgn val="ctr"/>
        <c:lblOffset val="100"/>
        <c:noMultiLvlLbl val="0"/>
      </c:catAx>
      <c:valAx>
        <c:axId val="4775641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7557624"/>
        <c:crosses val="autoZero"/>
        <c:crossBetween val="between"/>
      </c:valAx>
      <c:valAx>
        <c:axId val="484246264"/>
        <c:scaling>
          <c:orientation val="minMax"/>
          <c:min val="15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4246592"/>
        <c:crosses val="max"/>
        <c:crossBetween val="between"/>
        <c:majorUnit val="1000"/>
      </c:valAx>
      <c:catAx>
        <c:axId val="484246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4246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1373689329442951"/>
          <c:y val="0.88814364853824501"/>
          <c:w val="0.4463307886006635"/>
          <c:h val="0.109958824950397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Inversión en becas en la Comunidad Valenciana y número de</a:t>
            </a:r>
            <a:r>
              <a:rPr lang="es-ES" baseline="0"/>
              <a:t> </a:t>
            </a:r>
            <a:r>
              <a:rPr lang="es-ES"/>
              <a:t>becados en los últimos años</a:t>
            </a:r>
          </a:p>
        </c:rich>
      </c:tx>
      <c:layout>
        <c:manualLayout>
          <c:xMode val="edge"/>
          <c:yMode val="edge"/>
          <c:x val="0.1355067804024497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'Comunidad Valenciana'!$A$2</c:f>
              <c:strCache>
                <c:ptCount val="1"/>
                <c:pt idx="0">
                  <c:v>Importe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'Comunidad Valenciana'!$B$1:$K$1</c:f>
              <c:strCache>
                <c:ptCount val="10"/>
                <c:pt idx="0">
                  <c:v>2008-2009</c:v>
                </c:pt>
                <c:pt idx="1">
                  <c:v>2009-2010</c:v>
                </c:pt>
                <c:pt idx="2">
                  <c:v>2010-2011</c:v>
                </c:pt>
                <c:pt idx="3">
                  <c:v>2011-2012</c:v>
                </c:pt>
                <c:pt idx="4">
                  <c:v>2012-2013</c:v>
                </c:pt>
                <c:pt idx="5">
                  <c:v>2013-2014</c:v>
                </c:pt>
                <c:pt idx="6">
                  <c:v>2014-2015</c:v>
                </c:pt>
                <c:pt idx="7">
                  <c:v>2015-2016</c:v>
                </c:pt>
                <c:pt idx="8">
                  <c:v>2016-2017</c:v>
                </c:pt>
                <c:pt idx="9">
                  <c:v>2017-2018</c:v>
                </c:pt>
              </c:strCache>
            </c:strRef>
          </c:cat>
          <c:val>
            <c:numRef>
              <c:f>'Comunidad Valenciana'!$B$2:$K$2</c:f>
              <c:numCache>
                <c:formatCode>General</c:formatCode>
                <c:ptCount val="10"/>
                <c:pt idx="0">
                  <c:v>90939.1</c:v>
                </c:pt>
                <c:pt idx="1">
                  <c:v>96801.8</c:v>
                </c:pt>
                <c:pt idx="2">
                  <c:v>115219.3</c:v>
                </c:pt>
                <c:pt idx="3">
                  <c:v>134019.70000000001</c:v>
                </c:pt>
                <c:pt idx="4">
                  <c:v>136266</c:v>
                </c:pt>
                <c:pt idx="5">
                  <c:v>128637</c:v>
                </c:pt>
                <c:pt idx="6">
                  <c:v>129215.2</c:v>
                </c:pt>
                <c:pt idx="7">
                  <c:v>134036.5</c:v>
                </c:pt>
                <c:pt idx="8">
                  <c:v>135197.20000000001</c:v>
                </c:pt>
                <c:pt idx="9" formatCode="@">
                  <c:v>139594.29999999999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1EE-B605-DF72A77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761968"/>
        <c:axId val="298762296"/>
      </c:barChart>
      <c:lineChart>
        <c:grouping val="standard"/>
        <c:varyColors val="0"/>
        <c:ser>
          <c:idx val="1"/>
          <c:order val="1"/>
          <c:tx>
            <c:strRef>
              <c:f>'Comunidad Valenciana'!$A$3</c:f>
              <c:strCache>
                <c:ptCount val="1"/>
                <c:pt idx="0">
                  <c:v>Becados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'Comunidad Valenciana'!$B$1:$K$1</c:f>
              <c:strCache>
                <c:ptCount val="10"/>
                <c:pt idx="0">
                  <c:v>2008-2009</c:v>
                </c:pt>
                <c:pt idx="1">
                  <c:v>2009-2010</c:v>
                </c:pt>
                <c:pt idx="2">
                  <c:v>2010-2011</c:v>
                </c:pt>
                <c:pt idx="3">
                  <c:v>2011-2012</c:v>
                </c:pt>
                <c:pt idx="4">
                  <c:v>2012-2013</c:v>
                </c:pt>
                <c:pt idx="5">
                  <c:v>2013-2014</c:v>
                </c:pt>
                <c:pt idx="6">
                  <c:v>2014-2015</c:v>
                </c:pt>
                <c:pt idx="7">
                  <c:v>2015-2016</c:v>
                </c:pt>
                <c:pt idx="8">
                  <c:v>2016-2017</c:v>
                </c:pt>
                <c:pt idx="9">
                  <c:v>2017-2018</c:v>
                </c:pt>
              </c:strCache>
            </c:strRef>
          </c:cat>
          <c:val>
            <c:numRef>
              <c:f>'Comunidad Valenciana'!$B$3:$K$3</c:f>
              <c:numCache>
                <c:formatCode>#,##0</c:formatCode>
                <c:ptCount val="10"/>
                <c:pt idx="0">
                  <c:v>43463</c:v>
                </c:pt>
                <c:pt idx="1">
                  <c:v>45602</c:v>
                </c:pt>
                <c:pt idx="2">
                  <c:v>49805</c:v>
                </c:pt>
                <c:pt idx="3">
                  <c:v>52948</c:v>
                </c:pt>
                <c:pt idx="4">
                  <c:v>90538</c:v>
                </c:pt>
                <c:pt idx="5">
                  <c:v>99490</c:v>
                </c:pt>
                <c:pt idx="6">
                  <c:v>95596</c:v>
                </c:pt>
                <c:pt idx="7">
                  <c:v>93672</c:v>
                </c:pt>
                <c:pt idx="8">
                  <c:v>96600</c:v>
                </c:pt>
                <c:pt idx="9">
                  <c:v>100820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E-41EE-B605-DF72A77E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761968"/>
        <c:axId val="298762296"/>
      </c:lineChart>
      <c:catAx>
        <c:axId val="2987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8762296"/>
        <c:crosses val="autoZero"/>
        <c:auto val="1"/>
        <c:lblAlgn val="ctr"/>
        <c:lblOffset val="100"/>
        <c:noMultiLvlLbl val="0"/>
      </c:catAx>
      <c:valAx>
        <c:axId val="29876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9876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760095</xdr:colOff>
      <xdr:row>0</xdr:row>
      <xdr:rowOff>0</xdr:rowOff>
    </xdr:from>
    <xdr:to>
      <xdr:col>13</xdr:col>
      <xdr:colOff>455295</xdr:colOff>
      <xdr:row>21</xdr:row>
      <xdr:rowOff>158115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BCB2B4-0588-43DD-B379-69AA45099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85724</xdr:rowOff>
    </xdr:from>
    <xdr:to>
      <xdr:col>10</xdr:col>
      <xdr:colOff>0</xdr:colOff>
      <xdr:row>26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002E7AC-D7A1-40BC-A5F5-814ABDE69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8"/>
  <sheetViews>
    <sheetView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A20" sqref="A20:K38"/>
    </sheetView>
  </sheetViews>
  <sheetFormatPr baseColWidth="10" defaultColWidth="14.44140625" defaultRowHeight="15.75" customHeight="1" x14ac:dyDescent="0.25"/>
  <cols>
    <col min="1" max="1" width="21.44140625" customWidth="1"/>
  </cols>
  <sheetData>
    <row r="1" spans="1:11" ht="15.75" customHeight="1" x14ac:dyDescent="0.2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customHeight="1" x14ac:dyDescent="0.25">
      <c r="A2" s="2" t="s">
        <v>10</v>
      </c>
      <c r="B2" s="7">
        <v>215321.60000000001</v>
      </c>
      <c r="C2" s="4">
        <v>235655.3</v>
      </c>
      <c r="D2" s="4">
        <v>266226.7</v>
      </c>
      <c r="E2" s="4">
        <v>298620.79999999999</v>
      </c>
      <c r="F2" s="4">
        <v>266470.09999999998</v>
      </c>
      <c r="G2" s="4">
        <v>234995.6</v>
      </c>
      <c r="H2" s="4">
        <v>231816.3</v>
      </c>
      <c r="I2" s="4">
        <v>239430.39999999999</v>
      </c>
      <c r="J2" s="3">
        <v>237678.8</v>
      </c>
      <c r="K2" s="3">
        <v>234815.3</v>
      </c>
    </row>
    <row r="3" spans="1:11" ht="15.75" customHeight="1" x14ac:dyDescent="0.25">
      <c r="A3" s="2" t="s">
        <v>11</v>
      </c>
      <c r="B3" s="4">
        <v>16778.599999999999</v>
      </c>
      <c r="C3" s="4">
        <v>17731.3</v>
      </c>
      <c r="D3" s="4">
        <v>19648.8</v>
      </c>
      <c r="E3" s="4">
        <v>22904.400000000001</v>
      </c>
      <c r="F3" s="4">
        <v>20376.900000000001</v>
      </c>
      <c r="G3" s="4">
        <v>19724.7</v>
      </c>
      <c r="H3" s="4">
        <v>18875.900000000001</v>
      </c>
      <c r="I3" s="4">
        <v>19504.099999999999</v>
      </c>
      <c r="J3" s="3">
        <v>20935.2</v>
      </c>
      <c r="K3" s="3">
        <v>21522.5</v>
      </c>
    </row>
    <row r="4" spans="1:11" ht="15.75" customHeight="1" x14ac:dyDescent="0.25">
      <c r="A4" s="2" t="s">
        <v>27</v>
      </c>
      <c r="B4" s="4">
        <v>12853.1</v>
      </c>
      <c r="C4" s="4">
        <v>14086.3</v>
      </c>
      <c r="D4" s="4">
        <v>16048.2</v>
      </c>
      <c r="E4" s="4">
        <v>18457.400000000001</v>
      </c>
      <c r="F4" s="4">
        <v>17124.099999999999</v>
      </c>
      <c r="G4" s="4">
        <v>15695.7</v>
      </c>
      <c r="H4" s="4">
        <v>14790.6</v>
      </c>
      <c r="I4" s="4">
        <v>14962.8</v>
      </c>
      <c r="J4" s="3">
        <v>14799.1</v>
      </c>
      <c r="K4" s="3">
        <v>14998.2</v>
      </c>
    </row>
    <row r="5" spans="1:11" ht="15.75" customHeight="1" x14ac:dyDescent="0.25">
      <c r="A5" s="2" t="s">
        <v>28</v>
      </c>
      <c r="B5" s="4">
        <v>5426.5</v>
      </c>
      <c r="C5" s="4">
        <v>6304.5</v>
      </c>
      <c r="D5" s="4">
        <v>8224.6</v>
      </c>
      <c r="E5" s="4">
        <v>9048.7999999999993</v>
      </c>
      <c r="F5" s="4">
        <v>8695.1</v>
      </c>
      <c r="G5" s="4">
        <v>7207.6</v>
      </c>
      <c r="H5" s="4">
        <v>7203.2</v>
      </c>
      <c r="I5" s="4">
        <v>7135.4</v>
      </c>
      <c r="J5" s="3">
        <v>6786.3</v>
      </c>
      <c r="K5" s="3">
        <v>6724.9</v>
      </c>
    </row>
    <row r="6" spans="1:11" ht="15.75" customHeight="1" x14ac:dyDescent="0.25">
      <c r="A6" s="2" t="s">
        <v>12</v>
      </c>
      <c r="B6" s="4">
        <v>40227.699999999997</v>
      </c>
      <c r="C6" s="4">
        <v>40858</v>
      </c>
      <c r="D6" s="4">
        <v>45084.3</v>
      </c>
      <c r="E6" s="4">
        <v>51391.9</v>
      </c>
      <c r="F6" s="4">
        <v>46825.5</v>
      </c>
      <c r="G6" s="4">
        <v>42683.8</v>
      </c>
      <c r="H6" s="4">
        <v>43389.3</v>
      </c>
      <c r="I6" s="4">
        <v>44020.9</v>
      </c>
      <c r="J6" s="3">
        <v>44549.599999999999</v>
      </c>
      <c r="K6" s="3">
        <v>44862.9</v>
      </c>
    </row>
    <row r="7" spans="1:11" ht="15.75" customHeight="1" x14ac:dyDescent="0.25">
      <c r="A7" s="2" t="s">
        <v>13</v>
      </c>
      <c r="B7" s="4">
        <v>6521.7</v>
      </c>
      <c r="C7" s="4">
        <v>6920.5</v>
      </c>
      <c r="D7" s="4">
        <v>8028.3</v>
      </c>
      <c r="E7" s="4">
        <v>9370.2000000000007</v>
      </c>
      <c r="F7" s="4">
        <v>7876.9</v>
      </c>
      <c r="G7" s="4">
        <v>7524.1</v>
      </c>
      <c r="H7" s="4">
        <v>7503.1</v>
      </c>
      <c r="I7" s="4">
        <v>7672.3</v>
      </c>
      <c r="J7" s="3">
        <v>7809.8</v>
      </c>
      <c r="K7" s="3">
        <v>8019.2</v>
      </c>
    </row>
    <row r="8" spans="1:11" ht="15.75" customHeight="1" x14ac:dyDescent="0.25">
      <c r="A8" s="2" t="s">
        <v>14</v>
      </c>
      <c r="B8" s="4">
        <v>70895.100000000006</v>
      </c>
      <c r="C8" s="4">
        <v>69117.8</v>
      </c>
      <c r="D8" s="4">
        <v>75124.100000000006</v>
      </c>
      <c r="E8" s="4">
        <v>86123.9</v>
      </c>
      <c r="F8" s="4">
        <v>75151.199999999997</v>
      </c>
      <c r="G8" s="4">
        <v>66135.5</v>
      </c>
      <c r="H8" s="4">
        <v>63233.5</v>
      </c>
      <c r="I8" s="4">
        <v>62278</v>
      </c>
      <c r="J8" s="4">
        <v>61078</v>
      </c>
      <c r="K8" s="3">
        <v>63102</v>
      </c>
    </row>
    <row r="9" spans="1:11" ht="15.75" customHeight="1" x14ac:dyDescent="0.25">
      <c r="A9" s="2" t="s">
        <v>15</v>
      </c>
      <c r="B9" s="4">
        <v>36275.199999999997</v>
      </c>
      <c r="C9" s="4">
        <v>36560</v>
      </c>
      <c r="D9" s="4">
        <v>39696.800000000003</v>
      </c>
      <c r="E9" s="4">
        <v>40603.199999999997</v>
      </c>
      <c r="F9" s="4">
        <v>36657</v>
      </c>
      <c r="G9" s="4">
        <v>26246</v>
      </c>
      <c r="H9" s="4">
        <v>25572.5</v>
      </c>
      <c r="I9" s="4">
        <v>25212.9</v>
      </c>
      <c r="J9" s="4">
        <v>25578.3</v>
      </c>
      <c r="K9" s="3">
        <v>25369.4</v>
      </c>
    </row>
    <row r="10" spans="1:11" ht="15.75" customHeight="1" x14ac:dyDescent="0.25">
      <c r="A10" s="2" t="s">
        <v>16</v>
      </c>
      <c r="B10" s="4">
        <v>75649.600000000006</v>
      </c>
      <c r="C10" s="4">
        <v>92772.2</v>
      </c>
      <c r="D10" s="4">
        <v>107077.1</v>
      </c>
      <c r="E10" s="4">
        <v>122461.8</v>
      </c>
      <c r="F10" s="4">
        <v>122070.9</v>
      </c>
      <c r="G10" s="4">
        <v>111333.7</v>
      </c>
      <c r="H10" s="4">
        <v>116960.4</v>
      </c>
      <c r="I10" s="4">
        <v>123543.2</v>
      </c>
      <c r="J10" s="4">
        <v>118944</v>
      </c>
      <c r="K10" s="3">
        <v>120108.8</v>
      </c>
    </row>
    <row r="11" spans="1:11" ht="15.75" customHeight="1" x14ac:dyDescent="0.25">
      <c r="A11" s="2" t="s">
        <v>17</v>
      </c>
      <c r="B11" s="4">
        <v>90939.1</v>
      </c>
      <c r="C11" s="4">
        <v>96801.8</v>
      </c>
      <c r="D11" s="4">
        <v>115219.3</v>
      </c>
      <c r="E11" s="4">
        <v>134019.70000000001</v>
      </c>
      <c r="F11" s="4">
        <v>136266</v>
      </c>
      <c r="G11" s="4">
        <v>128637</v>
      </c>
      <c r="H11" s="4">
        <v>129215.2</v>
      </c>
      <c r="I11" s="4">
        <v>134036.5</v>
      </c>
      <c r="J11" s="4">
        <v>135197.20000000001</v>
      </c>
      <c r="K11" s="3">
        <v>139594.29999999999</v>
      </c>
    </row>
    <row r="12" spans="1:11" ht="15.75" customHeight="1" x14ac:dyDescent="0.25">
      <c r="A12" s="2" t="s">
        <v>18</v>
      </c>
      <c r="B12" s="4">
        <v>30426.7</v>
      </c>
      <c r="C12" s="4">
        <v>31220.7</v>
      </c>
      <c r="D12" s="4">
        <v>35506</v>
      </c>
      <c r="E12" s="4">
        <v>40018.1</v>
      </c>
      <c r="F12" s="4">
        <v>37315.5</v>
      </c>
      <c r="G12" s="4">
        <v>28323.9</v>
      </c>
      <c r="H12" s="4">
        <v>28472.2</v>
      </c>
      <c r="I12" s="4">
        <v>28507.3</v>
      </c>
      <c r="J12" s="4">
        <v>28011.9</v>
      </c>
      <c r="K12" s="3">
        <v>28095.4</v>
      </c>
    </row>
    <row r="13" spans="1:11" ht="15.75" customHeight="1" x14ac:dyDescent="0.25">
      <c r="A13" s="2" t="s">
        <v>19</v>
      </c>
      <c r="B13" s="4">
        <v>61070.5</v>
      </c>
      <c r="C13" s="4">
        <v>62170.2</v>
      </c>
      <c r="D13" s="4">
        <v>66019.399999999994</v>
      </c>
      <c r="E13" s="4">
        <v>71938.7</v>
      </c>
      <c r="F13" s="4">
        <v>65706.8</v>
      </c>
      <c r="G13" s="4">
        <v>52550.3</v>
      </c>
      <c r="H13" s="4">
        <v>51148.2</v>
      </c>
      <c r="I13" s="4">
        <v>52755.199999999997</v>
      </c>
      <c r="J13" s="4">
        <v>52491.4</v>
      </c>
      <c r="K13" s="3">
        <v>54186.1</v>
      </c>
    </row>
    <row r="14" spans="1:11" ht="15.75" customHeight="1" x14ac:dyDescent="0.25">
      <c r="A14" s="2" t="s">
        <v>29</v>
      </c>
      <c r="B14" s="4">
        <v>109971.9</v>
      </c>
      <c r="C14" s="4">
        <v>116678.9</v>
      </c>
      <c r="D14" s="4">
        <v>134341.5</v>
      </c>
      <c r="E14" s="4">
        <v>149951.29999999999</v>
      </c>
      <c r="F14" s="4">
        <v>143702.79999999999</v>
      </c>
      <c r="G14" s="4">
        <v>131294.5</v>
      </c>
      <c r="H14" s="4">
        <v>137947.1</v>
      </c>
      <c r="I14" s="4">
        <v>145018.79999999999</v>
      </c>
      <c r="J14" s="4">
        <v>144985.9</v>
      </c>
      <c r="K14" s="3">
        <v>155453</v>
      </c>
    </row>
    <row r="15" spans="1:11" ht="15.75" customHeight="1" x14ac:dyDescent="0.25">
      <c r="A15" s="1" t="s">
        <v>30</v>
      </c>
      <c r="B15" s="4">
        <v>28672.9</v>
      </c>
      <c r="C15" s="4">
        <v>30427.200000000001</v>
      </c>
      <c r="D15" s="4">
        <v>37177.9</v>
      </c>
      <c r="E15" s="4">
        <v>42455</v>
      </c>
      <c r="F15" s="4">
        <v>41436</v>
      </c>
      <c r="G15" s="4">
        <v>34266.199999999997</v>
      </c>
      <c r="H15" s="4">
        <v>34822.699999999997</v>
      </c>
      <c r="I15" s="4">
        <v>35918.699999999997</v>
      </c>
      <c r="J15" s="4">
        <v>36404.300000000003</v>
      </c>
      <c r="K15" s="3">
        <v>37834.6</v>
      </c>
    </row>
    <row r="16" spans="1:11" ht="15.75" customHeight="1" x14ac:dyDescent="0.25">
      <c r="A16" s="2" t="s">
        <v>20</v>
      </c>
      <c r="B16" s="4">
        <v>10438.4</v>
      </c>
      <c r="C16" s="4">
        <v>10067.299999999999</v>
      </c>
      <c r="D16" s="4">
        <v>10372.5</v>
      </c>
      <c r="E16" s="4">
        <v>10665.5</v>
      </c>
      <c r="F16" s="4">
        <v>10280.1</v>
      </c>
      <c r="G16" s="4">
        <v>9137.6</v>
      </c>
      <c r="H16" s="4">
        <v>9214.6</v>
      </c>
      <c r="I16" s="4">
        <v>9560.2999999999993</v>
      </c>
      <c r="J16" s="4">
        <v>9369.4</v>
      </c>
      <c r="K16" s="3">
        <v>9503.5</v>
      </c>
    </row>
    <row r="17" spans="1:12" ht="15.75" customHeight="1" x14ac:dyDescent="0.25">
      <c r="A17" s="2" t="s">
        <v>21</v>
      </c>
      <c r="B17" s="4">
        <v>24858.9</v>
      </c>
      <c r="C17" s="4">
        <v>25850.2</v>
      </c>
      <c r="D17" s="4">
        <v>26789.4</v>
      </c>
      <c r="E17" s="4">
        <v>27959.599999999999</v>
      </c>
      <c r="F17" s="4">
        <v>27433.1</v>
      </c>
      <c r="G17" s="4">
        <v>28235.200000000001</v>
      </c>
      <c r="H17" s="4">
        <v>27955</v>
      </c>
      <c r="I17" s="4">
        <v>28474.799999999999</v>
      </c>
      <c r="J17" s="4">
        <v>28291.4</v>
      </c>
      <c r="K17" s="3">
        <v>29557.9</v>
      </c>
    </row>
    <row r="18" spans="1:12" ht="15.75" customHeight="1" x14ac:dyDescent="0.25">
      <c r="A18" s="2" t="s">
        <v>31</v>
      </c>
      <c r="B18" s="4">
        <v>2592.3000000000002</v>
      </c>
      <c r="C18" s="4">
        <v>2813.2</v>
      </c>
      <c r="D18" s="4">
        <v>3345.1</v>
      </c>
      <c r="E18" s="4">
        <v>4068</v>
      </c>
      <c r="F18" s="4">
        <v>4006.2</v>
      </c>
      <c r="G18" s="4">
        <v>3770</v>
      </c>
      <c r="H18" s="4">
        <v>4140.5</v>
      </c>
      <c r="I18" s="4">
        <v>4563.3</v>
      </c>
      <c r="J18" s="4">
        <v>4505.1000000000004</v>
      </c>
      <c r="K18" s="3">
        <v>4653</v>
      </c>
    </row>
    <row r="19" spans="1:12" ht="15.75" customHeight="1" x14ac:dyDescent="0.25">
      <c r="A19" s="2" t="s">
        <v>34</v>
      </c>
      <c r="B19" s="16">
        <f>SUM(B2:B18)</f>
        <v>838919.80000000016</v>
      </c>
      <c r="C19" s="16">
        <f t="shared" ref="C19:J19" si="0">SUM(C2:C18)</f>
        <v>896035.39999999979</v>
      </c>
      <c r="D19" s="16">
        <f t="shared" si="0"/>
        <v>1013930.0000000001</v>
      </c>
      <c r="E19" s="16">
        <f t="shared" si="0"/>
        <v>1140058.3</v>
      </c>
      <c r="F19" s="16">
        <f t="shared" si="0"/>
        <v>1067394.2</v>
      </c>
      <c r="G19" s="16">
        <f t="shared" si="0"/>
        <v>947761.39999999991</v>
      </c>
      <c r="H19" s="16">
        <f t="shared" si="0"/>
        <v>952260.2999999997</v>
      </c>
      <c r="I19" s="16">
        <f t="shared" si="0"/>
        <v>982594.90000000014</v>
      </c>
      <c r="J19" s="16">
        <f t="shared" si="0"/>
        <v>977415.7</v>
      </c>
      <c r="K19" s="16">
        <f>SUM(K2:K18)</f>
        <v>998401</v>
      </c>
      <c r="L19" s="9"/>
    </row>
    <row r="20" spans="1:12" ht="15.75" customHeight="1" x14ac:dyDescent="0.25">
      <c r="B20" s="17" t="s">
        <v>35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</row>
    <row r="21" spans="1:12" ht="15.75" customHeight="1" x14ac:dyDescent="0.25">
      <c r="A21" s="2" t="s">
        <v>10</v>
      </c>
      <c r="B21" s="14">
        <f>(K2-B2)/B2</f>
        <v>9.0532951640708514E-2</v>
      </c>
      <c r="C21" s="14">
        <f t="shared" ref="C21:K21" si="1">(C2-B2)/B2</f>
        <v>9.4434093003209998E-2</v>
      </c>
      <c r="D21" s="14">
        <f t="shared" si="1"/>
        <v>0.12972931226244444</v>
      </c>
      <c r="E21" s="14">
        <f t="shared" si="1"/>
        <v>0.1216786295288939</v>
      </c>
      <c r="F21" s="14">
        <f t="shared" si="1"/>
        <v>-0.10766396714495445</v>
      </c>
      <c r="G21" s="14">
        <f t="shared" si="1"/>
        <v>-0.11811644158200103</v>
      </c>
      <c r="H21" s="14">
        <f t="shared" si="1"/>
        <v>-1.3529189482696772E-2</v>
      </c>
      <c r="I21" s="14">
        <f t="shared" si="1"/>
        <v>3.2845403882298209E-2</v>
      </c>
      <c r="J21" s="14">
        <f t="shared" si="1"/>
        <v>-7.3156959183128204E-3</v>
      </c>
      <c r="K21" s="14">
        <f t="shared" si="1"/>
        <v>-1.2047772035200447E-2</v>
      </c>
    </row>
    <row r="22" spans="1:12" ht="15.75" customHeight="1" x14ac:dyDescent="0.25">
      <c r="A22" s="2" t="s">
        <v>11</v>
      </c>
      <c r="B22" s="14">
        <f t="shared" ref="B22:B38" si="2">(K3-B3)/B3</f>
        <v>0.28273515072771277</v>
      </c>
      <c r="C22" s="14">
        <f t="shared" ref="C22:K22" si="3">(C3-B3)/B3</f>
        <v>5.6780661080185521E-2</v>
      </c>
      <c r="D22" s="14">
        <f t="shared" si="3"/>
        <v>0.10814209900007332</v>
      </c>
      <c r="E22" s="14">
        <f t="shared" si="3"/>
        <v>0.16568950775619898</v>
      </c>
      <c r="F22" s="14">
        <f t="shared" si="3"/>
        <v>-0.1103499764237439</v>
      </c>
      <c r="G22" s="14">
        <f t="shared" si="3"/>
        <v>-3.20068312648146E-2</v>
      </c>
      <c r="H22" s="14">
        <f t="shared" si="3"/>
        <v>-4.3032340162334495E-2</v>
      </c>
      <c r="I22" s="14">
        <f t="shared" si="3"/>
        <v>3.3280532318988608E-2</v>
      </c>
      <c r="J22" s="14">
        <f t="shared" si="3"/>
        <v>7.3374316169420903E-2</v>
      </c>
      <c r="K22" s="14">
        <f t="shared" si="3"/>
        <v>2.8053230922083346E-2</v>
      </c>
    </row>
    <row r="23" spans="1:12" ht="15.75" customHeight="1" x14ac:dyDescent="0.25">
      <c r="A23" s="2" t="s">
        <v>27</v>
      </c>
      <c r="B23" s="14">
        <f t="shared" si="2"/>
        <v>0.16689358987326017</v>
      </c>
      <c r="C23" s="14">
        <f t="shared" ref="C23:K23" si="4">(C4-B4)/B4</f>
        <v>9.5945725155798897E-2</v>
      </c>
      <c r="D23" s="14">
        <f t="shared" si="4"/>
        <v>0.13927717001625703</v>
      </c>
      <c r="E23" s="14">
        <f t="shared" si="4"/>
        <v>0.15012275519996016</v>
      </c>
      <c r="F23" s="14">
        <f t="shared" si="4"/>
        <v>-7.2236609706676072E-2</v>
      </c>
      <c r="G23" s="14">
        <f t="shared" si="4"/>
        <v>-8.3414602811242508E-2</v>
      </c>
      <c r="H23" s="14">
        <f t="shared" si="4"/>
        <v>-5.7665475257554638E-2</v>
      </c>
      <c r="I23" s="14">
        <f t="shared" si="4"/>
        <v>1.1642529714818797E-2</v>
      </c>
      <c r="J23" s="14">
        <f t="shared" si="4"/>
        <v>-1.0940465688240097E-2</v>
      </c>
      <c r="K23" s="14">
        <f t="shared" si="4"/>
        <v>1.3453520822212186E-2</v>
      </c>
    </row>
    <row r="24" spans="1:12" ht="15.75" customHeight="1" x14ac:dyDescent="0.25">
      <c r="A24" s="2" t="s">
        <v>28</v>
      </c>
      <c r="B24" s="14">
        <f t="shared" si="2"/>
        <v>0.23927024785773512</v>
      </c>
      <c r="C24" s="14">
        <f t="shared" ref="C24:K24" si="5">(C5-B5)/B5</f>
        <v>0.16179858103750114</v>
      </c>
      <c r="D24" s="14">
        <f t="shared" si="5"/>
        <v>0.3045602347529543</v>
      </c>
      <c r="E24" s="14">
        <f t="shared" si="5"/>
        <v>0.10021156044062919</v>
      </c>
      <c r="F24" s="14">
        <f t="shared" si="5"/>
        <v>-3.9088055874812011E-2</v>
      </c>
      <c r="G24" s="14">
        <f t="shared" si="5"/>
        <v>-0.17107336315856056</v>
      </c>
      <c r="H24" s="14">
        <f t="shared" si="5"/>
        <v>-6.1046672956331443E-4</v>
      </c>
      <c r="I24" s="14">
        <f t="shared" si="5"/>
        <v>-9.4124833407374757E-3</v>
      </c>
      <c r="J24" s="14">
        <f t="shared" si="5"/>
        <v>-4.8925077781203502E-2</v>
      </c>
      <c r="K24" s="14">
        <f t="shared" si="5"/>
        <v>-9.0476400984336892E-3</v>
      </c>
    </row>
    <row r="25" spans="1:12" ht="15.75" customHeight="1" x14ac:dyDescent="0.25">
      <c r="A25" s="2" t="s">
        <v>12</v>
      </c>
      <c r="B25" s="14">
        <f t="shared" si="2"/>
        <v>0.11522408688540495</v>
      </c>
      <c r="C25" s="14">
        <f t="shared" ref="C25:K25" si="6">(C6-B6)/B6</f>
        <v>1.5668308155823051E-2</v>
      </c>
      <c r="D25" s="14">
        <f t="shared" si="6"/>
        <v>0.10343873904743264</v>
      </c>
      <c r="E25" s="14">
        <f t="shared" si="6"/>
        <v>0.13990679682284071</v>
      </c>
      <c r="F25" s="14">
        <f t="shared" si="6"/>
        <v>-8.8854469284070078E-2</v>
      </c>
      <c r="G25" s="14">
        <f t="shared" si="6"/>
        <v>-8.8449669517677271E-2</v>
      </c>
      <c r="H25" s="14">
        <f t="shared" si="6"/>
        <v>1.6528519016582404E-2</v>
      </c>
      <c r="I25" s="14">
        <f t="shared" si="6"/>
        <v>1.4556584226986804E-2</v>
      </c>
      <c r="J25" s="14">
        <f t="shared" si="6"/>
        <v>1.2010204243893175E-2</v>
      </c>
      <c r="K25" s="14">
        <f t="shared" si="6"/>
        <v>7.032610842746128E-3</v>
      </c>
    </row>
    <row r="26" spans="1:12" ht="15.75" customHeight="1" x14ac:dyDescent="0.25">
      <c r="A26" s="2" t="s">
        <v>13</v>
      </c>
      <c r="B26" s="14">
        <f t="shared" si="2"/>
        <v>0.22961804437493291</v>
      </c>
      <c r="C26" s="14">
        <f t="shared" ref="C26:K26" si="7">(C7-B7)/B7</f>
        <v>6.1149700231534751E-2</v>
      </c>
      <c r="D26" s="14">
        <f t="shared" si="7"/>
        <v>0.16007513907954629</v>
      </c>
      <c r="E26" s="14">
        <f t="shared" si="7"/>
        <v>0.16714622024588027</v>
      </c>
      <c r="F26" s="14">
        <f t="shared" si="7"/>
        <v>-0.15936692920108439</v>
      </c>
      <c r="G26" s="14">
        <f t="shared" si="7"/>
        <v>-4.4789193718340885E-2</v>
      </c>
      <c r="H26" s="14">
        <f t="shared" si="7"/>
        <v>-2.7910314854932817E-3</v>
      </c>
      <c r="I26" s="14">
        <f t="shared" si="7"/>
        <v>2.2550679052658208E-2</v>
      </c>
      <c r="J26" s="14">
        <f t="shared" si="7"/>
        <v>1.7921614118321754E-2</v>
      </c>
      <c r="K26" s="14">
        <f t="shared" si="7"/>
        <v>2.6812466388383777E-2</v>
      </c>
    </row>
    <row r="27" spans="1:12" ht="15.75" customHeight="1" x14ac:dyDescent="0.25">
      <c r="A27" s="2" t="s">
        <v>14</v>
      </c>
      <c r="B27" s="14">
        <f t="shared" si="2"/>
        <v>-0.10992438123368195</v>
      </c>
      <c r="C27" s="14">
        <f t="shared" ref="C27:K27" si="8">(C8-B8)/B8</f>
        <v>-2.5069433571572687E-2</v>
      </c>
      <c r="D27" s="14">
        <f t="shared" si="8"/>
        <v>8.6899467286285198E-2</v>
      </c>
      <c r="E27" s="14">
        <f t="shared" si="8"/>
        <v>0.14642172085921812</v>
      </c>
      <c r="F27" s="14">
        <f t="shared" si="8"/>
        <v>-0.12740598138263592</v>
      </c>
      <c r="G27" s="14">
        <f t="shared" si="8"/>
        <v>-0.11996747889587921</v>
      </c>
      <c r="H27" s="14">
        <f t="shared" si="8"/>
        <v>-4.387961079904136E-2</v>
      </c>
      <c r="I27" s="14">
        <f t="shared" si="8"/>
        <v>-1.5110661279226991E-2</v>
      </c>
      <c r="J27" s="14">
        <f t="shared" si="8"/>
        <v>-1.9268441504223001E-2</v>
      </c>
      <c r="K27" s="14">
        <f t="shared" si="8"/>
        <v>3.3137954746389864E-2</v>
      </c>
    </row>
    <row r="28" spans="1:12" ht="15.75" customHeight="1" x14ac:dyDescent="0.25">
      <c r="A28" s="2" t="s">
        <v>15</v>
      </c>
      <c r="B28" s="14">
        <f t="shared" si="2"/>
        <v>-0.30064065808045154</v>
      </c>
      <c r="C28" s="14">
        <f t="shared" ref="C28:K28" si="9">(C9-B9)/B9</f>
        <v>7.8510938602682524E-3</v>
      </c>
      <c r="D28" s="14">
        <f t="shared" si="9"/>
        <v>8.5798687089715622E-2</v>
      </c>
      <c r="E28" s="14">
        <f t="shared" si="9"/>
        <v>2.2833074706273406E-2</v>
      </c>
      <c r="F28" s="14">
        <f t="shared" si="9"/>
        <v>-9.7189384087953593E-2</v>
      </c>
      <c r="G28" s="14">
        <f t="shared" si="9"/>
        <v>-0.28401123932673161</v>
      </c>
      <c r="H28" s="14">
        <f t="shared" si="9"/>
        <v>-2.5661053112855291E-2</v>
      </c>
      <c r="I28" s="14">
        <f t="shared" si="9"/>
        <v>-1.406198064326908E-2</v>
      </c>
      <c r="J28" s="14">
        <f t="shared" si="9"/>
        <v>1.4492581178682254E-2</v>
      </c>
      <c r="K28" s="14">
        <f t="shared" si="9"/>
        <v>-8.1670791256650294E-3</v>
      </c>
    </row>
    <row r="29" spans="1:12" ht="15.75" customHeight="1" x14ac:dyDescent="0.25">
      <c r="A29" s="2" t="s">
        <v>16</v>
      </c>
      <c r="B29" s="14">
        <f t="shared" si="2"/>
        <v>0.58769907573866875</v>
      </c>
      <c r="C29" s="14">
        <f t="shared" ref="C29:K29" si="10">(C10-B10)/B10</f>
        <v>0.22634091918529628</v>
      </c>
      <c r="D29" s="14">
        <f t="shared" si="10"/>
        <v>0.1541938209937892</v>
      </c>
      <c r="E29" s="14">
        <f t="shared" si="10"/>
        <v>0.14367871374925167</v>
      </c>
      <c r="F29" s="14">
        <f t="shared" si="10"/>
        <v>-3.1920157959462359E-3</v>
      </c>
      <c r="G29" s="14">
        <f t="shared" si="10"/>
        <v>-8.7958719072276828E-2</v>
      </c>
      <c r="H29" s="14">
        <f t="shared" si="10"/>
        <v>5.0539055110896319E-2</v>
      </c>
      <c r="I29" s="14">
        <f t="shared" si="10"/>
        <v>5.6282297256165362E-2</v>
      </c>
      <c r="J29" s="14">
        <f t="shared" si="10"/>
        <v>-3.7227463753569577E-2</v>
      </c>
      <c r="K29" s="14">
        <f t="shared" si="10"/>
        <v>9.7928436911488004E-3</v>
      </c>
    </row>
    <row r="30" spans="1:12" ht="15.75" customHeight="1" x14ac:dyDescent="0.25">
      <c r="A30" s="2" t="s">
        <v>17</v>
      </c>
      <c r="B30" s="14">
        <f t="shared" si="2"/>
        <v>0.53503058640342804</v>
      </c>
      <c r="C30" s="14">
        <f t="shared" ref="C30:K30" si="11">(C11-B11)/B11</f>
        <v>6.4468418974896344E-2</v>
      </c>
      <c r="D30" s="14">
        <f t="shared" si="11"/>
        <v>0.19025989186151496</v>
      </c>
      <c r="E30" s="14">
        <f t="shared" si="11"/>
        <v>0.16317057992888351</v>
      </c>
      <c r="F30" s="14">
        <f t="shared" si="11"/>
        <v>1.6760968723254777E-2</v>
      </c>
      <c r="G30" s="14">
        <f t="shared" si="11"/>
        <v>-5.5986086037602925E-2</v>
      </c>
      <c r="H30" s="14">
        <f t="shared" si="11"/>
        <v>4.4948187535467799E-3</v>
      </c>
      <c r="I30" s="14">
        <f t="shared" si="11"/>
        <v>3.7312173799986401E-2</v>
      </c>
      <c r="J30" s="14">
        <f t="shared" si="11"/>
        <v>8.6595815318962488E-3</v>
      </c>
      <c r="K30" s="14">
        <f t="shared" si="11"/>
        <v>3.252360255981615E-2</v>
      </c>
    </row>
    <row r="31" spans="1:12" ht="15.75" customHeight="1" x14ac:dyDescent="0.25">
      <c r="A31" s="2" t="s">
        <v>18</v>
      </c>
      <c r="B31" s="14">
        <f t="shared" si="2"/>
        <v>-7.6620205280230821E-2</v>
      </c>
      <c r="C31" s="14">
        <f t="shared" ref="C31:K31" si="12">(C12-B12)/B12</f>
        <v>2.6095501648223433E-2</v>
      </c>
      <c r="D31" s="14">
        <f t="shared" si="12"/>
        <v>0.1372582933758692</v>
      </c>
      <c r="E31" s="14">
        <f t="shared" si="12"/>
        <v>0.12707993015265021</v>
      </c>
      <c r="F31" s="14">
        <f t="shared" si="12"/>
        <v>-6.7534440665598786E-2</v>
      </c>
      <c r="G31" s="14">
        <f t="shared" si="12"/>
        <v>-0.24096153073119744</v>
      </c>
      <c r="H31" s="14">
        <f t="shared" si="12"/>
        <v>5.2358608807402673E-3</v>
      </c>
      <c r="I31" s="14">
        <f t="shared" si="12"/>
        <v>1.2327814499757147E-3</v>
      </c>
      <c r="J31" s="14">
        <f t="shared" si="12"/>
        <v>-1.7378004932069955E-2</v>
      </c>
      <c r="K31" s="14">
        <f t="shared" si="12"/>
        <v>2.9808759848492959E-3</v>
      </c>
    </row>
    <row r="32" spans="1:12" ht="15.75" customHeight="1" x14ac:dyDescent="0.25">
      <c r="A32" s="2" t="s">
        <v>19</v>
      </c>
      <c r="B32" s="14">
        <f t="shared" si="2"/>
        <v>-0.11272873154796507</v>
      </c>
      <c r="C32" s="14">
        <f t="shared" ref="C32:K32" si="13">(C13-B13)/B13</f>
        <v>1.8007057417247233E-2</v>
      </c>
      <c r="D32" s="14">
        <f t="shared" si="13"/>
        <v>6.1913907306072644E-2</v>
      </c>
      <c r="E32" s="14">
        <f t="shared" si="13"/>
        <v>8.9660009027649507E-2</v>
      </c>
      <c r="F32" s="14">
        <f t="shared" si="13"/>
        <v>-8.6627920715831599E-2</v>
      </c>
      <c r="G32" s="14">
        <f t="shared" si="13"/>
        <v>-0.20023041755191243</v>
      </c>
      <c r="H32" s="14">
        <f t="shared" si="13"/>
        <v>-2.6681103628333345E-2</v>
      </c>
      <c r="I32" s="14">
        <f t="shared" si="13"/>
        <v>3.1418505441051688E-2</v>
      </c>
      <c r="J32" s="14">
        <f t="shared" si="13"/>
        <v>-5.0004549314569113E-3</v>
      </c>
      <c r="K32" s="14">
        <f t="shared" si="13"/>
        <v>3.2285288637757745E-2</v>
      </c>
    </row>
    <row r="33" spans="1:11" ht="15.75" customHeight="1" x14ac:dyDescent="0.25">
      <c r="A33" s="2" t="s">
        <v>29</v>
      </c>
      <c r="B33" s="14">
        <f t="shared" si="2"/>
        <v>0.41357019384042659</v>
      </c>
      <c r="C33" s="14">
        <f t="shared" ref="C33:K33" si="14">(C14-B14)/B14</f>
        <v>6.0988307012973315E-2</v>
      </c>
      <c r="D33" s="14">
        <f t="shared" si="14"/>
        <v>0.15137784123779027</v>
      </c>
      <c r="E33" s="14">
        <f t="shared" si="14"/>
        <v>0.11619492115243606</v>
      </c>
      <c r="F33" s="14">
        <f t="shared" si="14"/>
        <v>-4.1670195590168276E-2</v>
      </c>
      <c r="G33" s="14">
        <f t="shared" si="14"/>
        <v>-8.634696053243214E-2</v>
      </c>
      <c r="H33" s="14">
        <f t="shared" si="14"/>
        <v>5.0669296886008214E-2</v>
      </c>
      <c r="I33" s="14">
        <f t="shared" si="14"/>
        <v>5.1263854042600261E-2</v>
      </c>
      <c r="J33" s="14">
        <f t="shared" si="14"/>
        <v>-2.2686713722630571E-4</v>
      </c>
      <c r="K33" s="14">
        <f t="shared" si="14"/>
        <v>7.2193916787770443E-2</v>
      </c>
    </row>
    <row r="34" spans="1:11" ht="15.75" customHeight="1" x14ac:dyDescent="0.25">
      <c r="A34" s="1" t="s">
        <v>30</v>
      </c>
      <c r="B34" s="14">
        <f t="shared" si="2"/>
        <v>0.31952470799953953</v>
      </c>
      <c r="C34" s="14">
        <f t="shared" ref="C34:K34" si="15">(C15-B15)/B15</f>
        <v>6.1183207837365569E-2</v>
      </c>
      <c r="D34" s="14">
        <f t="shared" si="15"/>
        <v>0.22186399011410846</v>
      </c>
      <c r="E34" s="14">
        <f t="shared" si="15"/>
        <v>0.14194185255218822</v>
      </c>
      <c r="F34" s="14">
        <f t="shared" si="15"/>
        <v>-2.4001884348133318E-2</v>
      </c>
      <c r="G34" s="14">
        <f t="shared" si="15"/>
        <v>-0.17303311130418</v>
      </c>
      <c r="H34" s="14">
        <f t="shared" si="15"/>
        <v>1.6240493547577499E-2</v>
      </c>
      <c r="I34" s="14">
        <f t="shared" si="15"/>
        <v>3.1473722600487614E-2</v>
      </c>
      <c r="J34" s="14">
        <f t="shared" si="15"/>
        <v>1.3519420246278564E-2</v>
      </c>
      <c r="K34" s="14">
        <f t="shared" si="15"/>
        <v>3.9289314723809976E-2</v>
      </c>
    </row>
    <row r="35" spans="1:11" ht="15.75" customHeight="1" x14ac:dyDescent="0.25">
      <c r="A35" s="2" t="s">
        <v>20</v>
      </c>
      <c r="B35" s="14">
        <f t="shared" si="2"/>
        <v>-8.9563534641324313E-2</v>
      </c>
      <c r="C35" s="14">
        <f t="shared" ref="C35:K35" si="16">(C16-B16)/B16</f>
        <v>-3.5551425505824685E-2</v>
      </c>
      <c r="D35" s="14">
        <f t="shared" si="16"/>
        <v>3.0315973498356137E-2</v>
      </c>
      <c r="E35" s="14">
        <f t="shared" si="16"/>
        <v>2.8247770547119789E-2</v>
      </c>
      <c r="F35" s="14">
        <f t="shared" si="16"/>
        <v>-3.613520228775019E-2</v>
      </c>
      <c r="G35" s="14">
        <f t="shared" si="16"/>
        <v>-0.11113705119600004</v>
      </c>
      <c r="H35" s="14">
        <f t="shared" si="16"/>
        <v>8.42672036420942E-3</v>
      </c>
      <c r="I35" s="14">
        <f t="shared" si="16"/>
        <v>3.751654982310669E-2</v>
      </c>
      <c r="J35" s="14">
        <f t="shared" si="16"/>
        <v>-1.9967992636214307E-2</v>
      </c>
      <c r="K35" s="14">
        <f t="shared" si="16"/>
        <v>1.431254936281943E-2</v>
      </c>
    </row>
    <row r="36" spans="1:11" ht="15.75" customHeight="1" x14ac:dyDescent="0.25">
      <c r="A36" s="2" t="s">
        <v>21</v>
      </c>
      <c r="B36" s="14">
        <f t="shared" si="2"/>
        <v>0.1890268676409656</v>
      </c>
      <c r="C36" s="14">
        <f t="shared" ref="C36:K36" si="17">(C17-B17)/B17</f>
        <v>3.9877066161414995E-2</v>
      </c>
      <c r="D36" s="14">
        <f t="shared" si="17"/>
        <v>3.6332407486209028E-2</v>
      </c>
      <c r="E36" s="14">
        <f t="shared" si="17"/>
        <v>4.3681456098307425E-2</v>
      </c>
      <c r="F36" s="14">
        <f t="shared" si="17"/>
        <v>-1.883074149844776E-2</v>
      </c>
      <c r="G36" s="14">
        <f t="shared" si="17"/>
        <v>2.9238401784705419E-2</v>
      </c>
      <c r="H36" s="14">
        <f t="shared" si="17"/>
        <v>-9.9237830792769568E-3</v>
      </c>
      <c r="I36" s="14">
        <f t="shared" si="17"/>
        <v>1.859416920050078E-2</v>
      </c>
      <c r="J36" s="14">
        <f t="shared" si="17"/>
        <v>-6.4407827271832571E-3</v>
      </c>
      <c r="K36" s="14">
        <f t="shared" si="17"/>
        <v>4.4766254056002881E-2</v>
      </c>
    </row>
    <row r="37" spans="1:11" ht="15.75" customHeight="1" x14ac:dyDescent="0.25">
      <c r="A37" s="2" t="s">
        <v>31</v>
      </c>
      <c r="B37" s="14">
        <f t="shared" si="2"/>
        <v>0.79493114222890859</v>
      </c>
      <c r="C37" s="14">
        <f t="shared" ref="C37:K37" si="18">(C18-B18)/B18</f>
        <v>8.5213902711877343E-2</v>
      </c>
      <c r="D37" s="14">
        <f t="shared" si="18"/>
        <v>0.18907294184558515</v>
      </c>
      <c r="E37" s="14">
        <f t="shared" si="18"/>
        <v>0.21610714178948315</v>
      </c>
      <c r="F37" s="14">
        <f t="shared" si="18"/>
        <v>-1.5191740412979396E-2</v>
      </c>
      <c r="G37" s="14">
        <f t="shared" si="18"/>
        <v>-5.8958614148070451E-2</v>
      </c>
      <c r="H37" s="14">
        <f t="shared" si="18"/>
        <v>9.8275862068965519E-2</v>
      </c>
      <c r="I37" s="14">
        <f t="shared" si="18"/>
        <v>0.10211327134404062</v>
      </c>
      <c r="J37" s="14">
        <f t="shared" si="18"/>
        <v>-1.2753928078364301E-2</v>
      </c>
      <c r="K37" s="14">
        <f t="shared" si="18"/>
        <v>3.2829459945395136E-2</v>
      </c>
    </row>
    <row r="38" spans="1:11" ht="15.75" customHeight="1" x14ac:dyDescent="0.25">
      <c r="A38" s="2" t="s">
        <v>34</v>
      </c>
      <c r="B38" s="15">
        <f t="shared" si="2"/>
        <v>0.19010303487889998</v>
      </c>
      <c r="C38" s="15">
        <f>(C19-B19)/B19</f>
        <v>6.808231251664297E-2</v>
      </c>
      <c r="D38" s="15">
        <f t="shared" ref="D38:K38" si="19">(D19-C19)/C19</f>
        <v>0.13157359631103899</v>
      </c>
      <c r="E38" s="15">
        <f t="shared" si="19"/>
        <v>0.12439547108774759</v>
      </c>
      <c r="F38" s="15">
        <f t="shared" si="19"/>
        <v>-6.3737179054790524E-2</v>
      </c>
      <c r="G38" s="15">
        <f t="shared" si="19"/>
        <v>-0.11207930490909548</v>
      </c>
      <c r="H38" s="15">
        <f t="shared" si="19"/>
        <v>4.7468698345383038E-3</v>
      </c>
      <c r="I38" s="15">
        <f t="shared" si="19"/>
        <v>3.1855365596991127E-2</v>
      </c>
      <c r="J38" s="15">
        <f t="shared" si="19"/>
        <v>-5.270941259719733E-3</v>
      </c>
      <c r="K38" s="15">
        <f t="shared" si="19"/>
        <v>2.1470189193809806E-2</v>
      </c>
    </row>
  </sheetData>
  <conditionalFormatting sqref="B2:K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K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B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{052EF9E1-4186-4BCD-922E-3F82FB216F1F}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2EF9E1-4186-4BCD-922E-3F82FB216F1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B21:B38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5562-AAF0-4878-B689-18DB3C617BE8}">
  <dimension ref="A1:E18"/>
  <sheetViews>
    <sheetView zoomScaleNormal="100" workbookViewId="0">
      <selection activeCell="C22" sqref="C22"/>
    </sheetView>
  </sheetViews>
  <sheetFormatPr baseColWidth="10" defaultRowHeight="13.2" x14ac:dyDescent="0.25"/>
  <cols>
    <col min="1" max="1" width="24.33203125" customWidth="1"/>
    <col min="3" max="3" width="8.88671875" customWidth="1"/>
    <col min="5" max="5" width="9.44140625" customWidth="1"/>
  </cols>
  <sheetData>
    <row r="1" spans="1:5" x14ac:dyDescent="0.25">
      <c r="A1" s="1"/>
      <c r="B1" t="s">
        <v>32</v>
      </c>
      <c r="C1" t="s">
        <v>33</v>
      </c>
    </row>
    <row r="2" spans="1:5" x14ac:dyDescent="0.25">
      <c r="A2" s="2" t="s">
        <v>10</v>
      </c>
      <c r="B2" s="12">
        <v>215321.60000000001</v>
      </c>
      <c r="C2" s="13">
        <v>85962</v>
      </c>
      <c r="D2" s="10">
        <f>B2/C2</f>
        <v>2.5048463274470114</v>
      </c>
      <c r="E2" s="11">
        <f>D2*1000</f>
        <v>2504.8463274470114</v>
      </c>
    </row>
    <row r="3" spans="1:5" x14ac:dyDescent="0.25">
      <c r="A3" s="2" t="s">
        <v>11</v>
      </c>
      <c r="B3" s="12">
        <v>16778.599999999999</v>
      </c>
      <c r="C3" s="13">
        <v>8287</v>
      </c>
      <c r="D3" s="10">
        <f t="shared" ref="D3:D18" si="0">B3/C3</f>
        <v>2.0246892723542897</v>
      </c>
      <c r="E3" s="11">
        <f t="shared" ref="E3:E18" si="1">D3*1000</f>
        <v>2024.6892723542896</v>
      </c>
    </row>
    <row r="4" spans="1:5" x14ac:dyDescent="0.25">
      <c r="A4" s="2" t="s">
        <v>27</v>
      </c>
      <c r="B4" s="12">
        <v>12853.1</v>
      </c>
      <c r="C4" s="13">
        <v>6313</v>
      </c>
      <c r="D4" s="10">
        <f t="shared" si="0"/>
        <v>2.0359733882464757</v>
      </c>
      <c r="E4" s="11">
        <f t="shared" si="1"/>
        <v>2035.9733882464757</v>
      </c>
    </row>
    <row r="5" spans="1:5" x14ac:dyDescent="0.25">
      <c r="A5" s="2" t="s">
        <v>28</v>
      </c>
      <c r="B5" s="12">
        <v>5426.5</v>
      </c>
      <c r="C5" s="13">
        <v>3240</v>
      </c>
      <c r="D5" s="10">
        <f t="shared" si="0"/>
        <v>1.6748456790123456</v>
      </c>
      <c r="E5" s="11">
        <f t="shared" si="1"/>
        <v>1674.8456790123455</v>
      </c>
    </row>
    <row r="6" spans="1:5" x14ac:dyDescent="0.25">
      <c r="A6" s="2" t="s">
        <v>12</v>
      </c>
      <c r="B6" s="12">
        <v>40227.699999999997</v>
      </c>
      <c r="C6" s="13">
        <v>17421</v>
      </c>
      <c r="D6" s="10">
        <f t="shared" si="0"/>
        <v>2.3091498765857299</v>
      </c>
      <c r="E6" s="11">
        <f t="shared" si="1"/>
        <v>2309.14987658573</v>
      </c>
    </row>
    <row r="7" spans="1:5" x14ac:dyDescent="0.25">
      <c r="A7" s="2" t="s">
        <v>13</v>
      </c>
      <c r="B7" s="12">
        <v>6521.7</v>
      </c>
      <c r="C7" s="13">
        <v>3689</v>
      </c>
      <c r="D7" s="10">
        <f t="shared" si="0"/>
        <v>1.7678774735700731</v>
      </c>
      <c r="E7" s="11">
        <f t="shared" si="1"/>
        <v>1767.8774735700731</v>
      </c>
    </row>
    <row r="8" spans="1:5" x14ac:dyDescent="0.25">
      <c r="A8" s="2" t="s">
        <v>14</v>
      </c>
      <c r="B8" s="12">
        <v>70895.100000000006</v>
      </c>
      <c r="C8" s="13">
        <v>28414</v>
      </c>
      <c r="D8" s="10">
        <f t="shared" si="0"/>
        <v>2.4950763708031256</v>
      </c>
      <c r="E8" s="11">
        <f t="shared" si="1"/>
        <v>2495.0763708031254</v>
      </c>
    </row>
    <row r="9" spans="1:5" x14ac:dyDescent="0.25">
      <c r="A9" s="2" t="s">
        <v>15</v>
      </c>
      <c r="B9" s="12">
        <v>36275.199999999997</v>
      </c>
      <c r="C9" s="13">
        <v>14242</v>
      </c>
      <c r="D9" s="10">
        <f t="shared" si="0"/>
        <v>2.5470579974722649</v>
      </c>
      <c r="E9" s="11">
        <f t="shared" si="1"/>
        <v>2547.057997472265</v>
      </c>
    </row>
    <row r="10" spans="1:5" x14ac:dyDescent="0.25">
      <c r="A10" s="2" t="s">
        <v>16</v>
      </c>
      <c r="B10" s="12">
        <v>75649.600000000006</v>
      </c>
      <c r="C10" s="13">
        <v>40361</v>
      </c>
      <c r="D10" s="10">
        <f t="shared" si="0"/>
        <v>1.8743242238794877</v>
      </c>
      <c r="E10" s="11">
        <f t="shared" si="1"/>
        <v>1874.3242238794878</v>
      </c>
    </row>
    <row r="11" spans="1:5" x14ac:dyDescent="0.25">
      <c r="A11" s="2" t="s">
        <v>17</v>
      </c>
      <c r="B11" s="12">
        <v>90939.1</v>
      </c>
      <c r="C11" s="13">
        <v>43463</v>
      </c>
      <c r="D11" s="10">
        <f t="shared" si="0"/>
        <v>2.0923337091319056</v>
      </c>
      <c r="E11" s="11">
        <f t="shared" si="1"/>
        <v>2092.3337091319058</v>
      </c>
    </row>
    <row r="12" spans="1:5" x14ac:dyDescent="0.25">
      <c r="A12" s="2" t="s">
        <v>18</v>
      </c>
      <c r="B12" s="12">
        <v>30426.7</v>
      </c>
      <c r="C12" s="13">
        <v>11210</v>
      </c>
      <c r="D12" s="10">
        <f t="shared" si="0"/>
        <v>2.7142462087421944</v>
      </c>
      <c r="E12" s="11">
        <f t="shared" si="1"/>
        <v>2714.2462087421945</v>
      </c>
    </row>
    <row r="13" spans="1:5" x14ac:dyDescent="0.25">
      <c r="A13" s="2" t="s">
        <v>19</v>
      </c>
      <c r="B13" s="12">
        <v>61070.5</v>
      </c>
      <c r="C13" s="13">
        <v>23943</v>
      </c>
      <c r="D13" s="10">
        <f t="shared" si="0"/>
        <v>2.5506619888902811</v>
      </c>
      <c r="E13" s="11">
        <f t="shared" si="1"/>
        <v>2550.661988890281</v>
      </c>
    </row>
    <row r="14" spans="1:5" x14ac:dyDescent="0.25">
      <c r="A14" s="2" t="s">
        <v>29</v>
      </c>
      <c r="B14" s="12">
        <v>109971.9</v>
      </c>
      <c r="C14" s="13">
        <v>55541</v>
      </c>
      <c r="D14" s="10">
        <f t="shared" si="0"/>
        <v>1.9800129633964099</v>
      </c>
      <c r="E14" s="11">
        <f t="shared" si="1"/>
        <v>1980.0129633964098</v>
      </c>
    </row>
    <row r="15" spans="1:5" x14ac:dyDescent="0.25">
      <c r="A15" s="1" t="s">
        <v>30</v>
      </c>
      <c r="B15" s="12">
        <v>28672.9</v>
      </c>
      <c r="C15" s="13">
        <v>12265</v>
      </c>
      <c r="D15" s="10">
        <f t="shared" si="0"/>
        <v>2.3377823073787201</v>
      </c>
      <c r="E15" s="11">
        <f t="shared" si="1"/>
        <v>2337.7823073787199</v>
      </c>
    </row>
    <row r="16" spans="1:5" x14ac:dyDescent="0.25">
      <c r="A16" s="2" t="s">
        <v>20</v>
      </c>
      <c r="B16" s="12">
        <v>10438.4</v>
      </c>
      <c r="C16" s="13">
        <v>4692</v>
      </c>
      <c r="D16" s="10">
        <f t="shared" si="0"/>
        <v>2.2247229326513214</v>
      </c>
      <c r="E16" s="11">
        <f t="shared" si="1"/>
        <v>2224.7229326513216</v>
      </c>
    </row>
    <row r="17" spans="1:5" x14ac:dyDescent="0.25">
      <c r="A17" s="2" t="s">
        <v>21</v>
      </c>
      <c r="B17" s="12">
        <v>24858.9</v>
      </c>
      <c r="C17" s="13">
        <v>13037</v>
      </c>
      <c r="D17" s="10">
        <f t="shared" si="0"/>
        <v>1.9067960420342105</v>
      </c>
      <c r="E17" s="11">
        <f t="shared" si="1"/>
        <v>1906.7960420342106</v>
      </c>
    </row>
    <row r="18" spans="1:5" x14ac:dyDescent="0.25">
      <c r="A18" s="2" t="s">
        <v>31</v>
      </c>
      <c r="B18" s="12">
        <v>2592.3000000000002</v>
      </c>
      <c r="C18" s="13">
        <v>1366</v>
      </c>
      <c r="D18" s="10">
        <f t="shared" si="0"/>
        <v>1.8977306002928258</v>
      </c>
      <c r="E18" s="11">
        <f t="shared" si="1"/>
        <v>1897.7306002928258</v>
      </c>
    </row>
  </sheetData>
  <conditionalFormatting sqref="D2:D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B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CED4-EEA7-4B10-A30A-FDC9B50F0CC5}">
  <dimension ref="A1:K4"/>
  <sheetViews>
    <sheetView workbookViewId="0">
      <selection activeCell="M13" sqref="M13"/>
    </sheetView>
  </sheetViews>
  <sheetFormatPr baseColWidth="10" defaultRowHeight="13.2" x14ac:dyDescent="0.25"/>
  <sheetData>
    <row r="1" spans="1:11" x14ac:dyDescent="0.25">
      <c r="A1" s="17" t="s">
        <v>37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7" t="s">
        <v>36</v>
      </c>
      <c r="B2" s="4">
        <v>90939.1</v>
      </c>
      <c r="C2" s="4">
        <v>96801.8</v>
      </c>
      <c r="D2" s="4">
        <v>115219.3</v>
      </c>
      <c r="E2" s="4">
        <v>134019.70000000001</v>
      </c>
      <c r="F2" s="4">
        <v>136266</v>
      </c>
      <c r="G2" s="4">
        <v>128637</v>
      </c>
      <c r="H2" s="4">
        <v>129215.2</v>
      </c>
      <c r="I2" s="4">
        <v>134036.5</v>
      </c>
      <c r="J2" s="4">
        <v>135197.20000000001</v>
      </c>
      <c r="K2" s="3">
        <v>139594.29999999999</v>
      </c>
    </row>
    <row r="3" spans="1:11" x14ac:dyDescent="0.25">
      <c r="A3" s="17" t="s">
        <v>33</v>
      </c>
      <c r="B3" s="8">
        <v>43463</v>
      </c>
      <c r="C3" s="8">
        <v>45602</v>
      </c>
      <c r="D3" s="8">
        <v>49805</v>
      </c>
      <c r="E3" s="8">
        <v>52948</v>
      </c>
      <c r="F3" s="8">
        <v>90538</v>
      </c>
      <c r="G3" s="8">
        <v>99490</v>
      </c>
      <c r="H3" s="8">
        <v>95596</v>
      </c>
      <c r="I3" s="8">
        <v>93672</v>
      </c>
      <c r="J3" s="8">
        <v>96600</v>
      </c>
      <c r="K3" s="8">
        <v>100820</v>
      </c>
    </row>
    <row r="4" spans="1:11" x14ac:dyDescent="0.25">
      <c r="A4" s="17" t="s">
        <v>38</v>
      </c>
      <c r="B4" s="18">
        <f>B2/B3</f>
        <v>2.0923337091319056</v>
      </c>
      <c r="C4" s="18">
        <f t="shared" ref="C4:K4" si="0">C2/C3</f>
        <v>2.1227533880092979</v>
      </c>
      <c r="D4" s="18">
        <f t="shared" si="0"/>
        <v>2.3134082923401267</v>
      </c>
      <c r="E4" s="18">
        <f t="shared" si="0"/>
        <v>2.5311569842109241</v>
      </c>
      <c r="F4" s="18">
        <f t="shared" si="0"/>
        <v>1.5050696944929201</v>
      </c>
      <c r="G4" s="18">
        <f t="shared" si="0"/>
        <v>1.292964116996683</v>
      </c>
      <c r="H4" s="18">
        <f t="shared" si="0"/>
        <v>1.3516799866103184</v>
      </c>
      <c r="I4" s="18">
        <f t="shared" si="0"/>
        <v>1.4309131864377829</v>
      </c>
      <c r="J4" s="18">
        <f t="shared" si="0"/>
        <v>1.3995569358178055</v>
      </c>
      <c r="K4" s="18">
        <f t="shared" si="0"/>
        <v>1.3845893671890497</v>
      </c>
    </row>
  </sheetData>
  <conditionalFormatting sqref="B2:K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K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K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K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K18"/>
    </sheetView>
  </sheetViews>
  <sheetFormatPr baseColWidth="10" defaultColWidth="14.44140625" defaultRowHeight="15.75" customHeight="1" x14ac:dyDescent="0.25"/>
  <cols>
    <col min="1" max="1" width="23.5546875" customWidth="1"/>
  </cols>
  <sheetData>
    <row r="1" spans="1:11" ht="15.75" customHeight="1" x14ac:dyDescent="0.25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ht="15.75" customHeight="1" x14ac:dyDescent="0.25">
      <c r="A2" s="6" t="s">
        <v>10</v>
      </c>
      <c r="B2" s="8">
        <v>85962</v>
      </c>
      <c r="C2" s="8">
        <v>91624</v>
      </c>
      <c r="D2" s="8">
        <v>97108</v>
      </c>
      <c r="E2" s="8">
        <v>103810</v>
      </c>
      <c r="F2" s="8">
        <v>101345</v>
      </c>
      <c r="G2" s="8">
        <v>109068</v>
      </c>
      <c r="H2" s="8">
        <v>105293</v>
      </c>
      <c r="I2" s="8">
        <v>104945</v>
      </c>
      <c r="J2" s="8">
        <v>111650</v>
      </c>
      <c r="K2" s="8">
        <v>111602</v>
      </c>
    </row>
    <row r="3" spans="1:11" ht="15.75" customHeight="1" x14ac:dyDescent="0.25">
      <c r="A3" s="6" t="s">
        <v>11</v>
      </c>
      <c r="B3" s="8">
        <v>8287</v>
      </c>
      <c r="C3" s="8">
        <v>8857</v>
      </c>
      <c r="D3" s="8">
        <v>9294</v>
      </c>
      <c r="E3" s="8">
        <v>10801</v>
      </c>
      <c r="F3" s="8">
        <v>10658</v>
      </c>
      <c r="G3" s="8">
        <v>12164</v>
      </c>
      <c r="H3" s="8">
        <v>10271</v>
      </c>
      <c r="I3" s="8">
        <v>10504</v>
      </c>
      <c r="J3" s="8">
        <v>12240</v>
      </c>
      <c r="K3" s="8">
        <v>12569</v>
      </c>
    </row>
    <row r="4" spans="1:11" ht="15.75" customHeight="1" x14ac:dyDescent="0.25">
      <c r="A4" s="6" t="s">
        <v>22</v>
      </c>
      <c r="B4" s="8">
        <v>6313</v>
      </c>
      <c r="C4" s="8">
        <v>6228</v>
      </c>
      <c r="D4" s="8">
        <v>6882</v>
      </c>
      <c r="E4" s="8">
        <v>7553</v>
      </c>
      <c r="F4" s="8">
        <v>7295</v>
      </c>
      <c r="G4" s="8">
        <v>7990</v>
      </c>
      <c r="H4" s="8">
        <v>7322</v>
      </c>
      <c r="I4" s="8">
        <v>7563</v>
      </c>
      <c r="J4" s="8">
        <v>8120</v>
      </c>
      <c r="K4" s="8">
        <v>8170</v>
      </c>
    </row>
    <row r="5" spans="1:11" ht="15.75" customHeight="1" x14ac:dyDescent="0.25">
      <c r="A5" s="6" t="s">
        <v>23</v>
      </c>
      <c r="B5" s="8">
        <v>3240</v>
      </c>
      <c r="C5" s="8">
        <v>3684</v>
      </c>
      <c r="D5" s="8">
        <v>4251</v>
      </c>
      <c r="E5" s="8">
        <v>4331</v>
      </c>
      <c r="F5" s="8">
        <v>4428</v>
      </c>
      <c r="G5" s="8">
        <v>4659</v>
      </c>
      <c r="H5" s="8">
        <v>4420</v>
      </c>
      <c r="I5" s="8">
        <v>4312</v>
      </c>
      <c r="J5" s="8">
        <v>4110</v>
      </c>
      <c r="K5" s="8">
        <v>4149</v>
      </c>
    </row>
    <row r="6" spans="1:11" ht="15.75" customHeight="1" x14ac:dyDescent="0.25">
      <c r="A6" s="6" t="s">
        <v>12</v>
      </c>
      <c r="B6" s="8">
        <v>17421</v>
      </c>
      <c r="C6" s="8">
        <v>18148</v>
      </c>
      <c r="D6" s="8">
        <v>19125</v>
      </c>
      <c r="E6" s="8">
        <v>20449</v>
      </c>
      <c r="F6" s="8">
        <v>19750</v>
      </c>
      <c r="G6" s="8">
        <v>22814</v>
      </c>
      <c r="H6" s="8">
        <v>22650</v>
      </c>
      <c r="I6" s="8">
        <v>22672</v>
      </c>
      <c r="J6" s="8">
        <v>23120</v>
      </c>
      <c r="K6" s="8">
        <v>23621</v>
      </c>
    </row>
    <row r="7" spans="1:11" ht="15.75" customHeight="1" x14ac:dyDescent="0.25">
      <c r="A7" s="6" t="s">
        <v>13</v>
      </c>
      <c r="B7" s="8">
        <v>3689</v>
      </c>
      <c r="C7" s="8">
        <v>3683</v>
      </c>
      <c r="D7" s="8">
        <v>4087</v>
      </c>
      <c r="E7" s="8">
        <v>4527</v>
      </c>
      <c r="F7" s="8">
        <v>4226</v>
      </c>
      <c r="G7" s="8">
        <v>4456</v>
      </c>
      <c r="H7" s="8">
        <v>4391</v>
      </c>
      <c r="I7" s="8">
        <v>4511</v>
      </c>
      <c r="J7" s="8">
        <v>4910</v>
      </c>
      <c r="K7" s="8">
        <v>4923</v>
      </c>
    </row>
    <row r="8" spans="1:11" ht="15.75" customHeight="1" x14ac:dyDescent="0.25">
      <c r="A8" s="6" t="s">
        <v>14</v>
      </c>
      <c r="B8" s="8">
        <v>28414</v>
      </c>
      <c r="C8" s="8">
        <v>28016</v>
      </c>
      <c r="D8" s="8">
        <v>27316</v>
      </c>
      <c r="E8" s="8">
        <v>30482</v>
      </c>
      <c r="F8" s="8">
        <v>29384</v>
      </c>
      <c r="G8" s="8">
        <v>31031</v>
      </c>
      <c r="H8" s="8">
        <v>29975</v>
      </c>
      <c r="I8" s="8">
        <v>29326</v>
      </c>
      <c r="J8" s="8">
        <v>30390</v>
      </c>
      <c r="K8" s="8">
        <v>33535</v>
      </c>
    </row>
    <row r="9" spans="1:11" ht="15.75" customHeight="1" x14ac:dyDescent="0.25">
      <c r="A9" s="6" t="s">
        <v>15</v>
      </c>
      <c r="B9" s="8">
        <v>14242</v>
      </c>
      <c r="C9" s="8">
        <v>14414</v>
      </c>
      <c r="D9" s="8">
        <v>14988</v>
      </c>
      <c r="E9" s="8">
        <v>14087</v>
      </c>
      <c r="F9" s="8">
        <v>13508</v>
      </c>
      <c r="G9" s="8">
        <v>12415</v>
      </c>
      <c r="H9" s="8">
        <v>11947</v>
      </c>
      <c r="I9" s="8">
        <v>11485</v>
      </c>
      <c r="J9" s="8">
        <v>12370</v>
      </c>
      <c r="K9" s="8">
        <v>12171</v>
      </c>
    </row>
    <row r="10" spans="1:11" ht="15.75" customHeight="1" x14ac:dyDescent="0.25">
      <c r="A10" s="6" t="s">
        <v>16</v>
      </c>
      <c r="B10" s="8">
        <v>40361</v>
      </c>
      <c r="C10" s="8">
        <v>48060</v>
      </c>
      <c r="D10" s="8">
        <v>51965</v>
      </c>
      <c r="E10" s="8">
        <v>55205</v>
      </c>
      <c r="F10" s="8">
        <v>60194</v>
      </c>
      <c r="G10" s="8">
        <v>65297</v>
      </c>
      <c r="H10" s="8">
        <v>62739</v>
      </c>
      <c r="I10" s="8">
        <v>66350</v>
      </c>
      <c r="J10" s="8">
        <v>68370</v>
      </c>
      <c r="K10" s="8">
        <v>70294</v>
      </c>
    </row>
    <row r="11" spans="1:11" ht="15.75" customHeight="1" x14ac:dyDescent="0.25">
      <c r="A11" s="6" t="s">
        <v>17</v>
      </c>
      <c r="B11" s="8">
        <v>43463</v>
      </c>
      <c r="C11" s="8">
        <v>45602</v>
      </c>
      <c r="D11" s="8">
        <v>49805</v>
      </c>
      <c r="E11" s="8">
        <v>52948</v>
      </c>
      <c r="F11" s="8">
        <v>90538</v>
      </c>
      <c r="G11" s="8">
        <v>99490</v>
      </c>
      <c r="H11" s="8">
        <v>95596</v>
      </c>
      <c r="I11" s="8">
        <v>93672</v>
      </c>
      <c r="J11" s="8">
        <v>96600</v>
      </c>
      <c r="K11" s="8">
        <v>100820</v>
      </c>
    </row>
    <row r="12" spans="1:11" ht="15.75" customHeight="1" x14ac:dyDescent="0.25">
      <c r="A12" s="6" t="s">
        <v>18</v>
      </c>
      <c r="B12" s="8">
        <v>11210</v>
      </c>
      <c r="C12" s="8">
        <v>11355</v>
      </c>
      <c r="D12" s="8">
        <v>12088</v>
      </c>
      <c r="E12" s="8">
        <v>13026</v>
      </c>
      <c r="F12" s="8">
        <v>12342</v>
      </c>
      <c r="G12" s="8">
        <v>11999</v>
      </c>
      <c r="H12" s="8">
        <v>11349</v>
      </c>
      <c r="I12" s="8">
        <v>11366</v>
      </c>
      <c r="J12" s="8">
        <v>11630</v>
      </c>
      <c r="K12" s="8">
        <v>11518</v>
      </c>
    </row>
    <row r="13" spans="1:11" ht="15.75" customHeight="1" x14ac:dyDescent="0.25">
      <c r="A13" s="6" t="s">
        <v>19</v>
      </c>
      <c r="B13" s="8">
        <v>23943</v>
      </c>
      <c r="C13" s="8">
        <v>23771</v>
      </c>
      <c r="D13" s="8">
        <v>24500</v>
      </c>
      <c r="E13" s="8">
        <v>25769</v>
      </c>
      <c r="F13" s="8">
        <v>24938</v>
      </c>
      <c r="G13" s="8">
        <v>25296</v>
      </c>
      <c r="H13" s="8">
        <v>23202</v>
      </c>
      <c r="I13" s="8">
        <v>24337</v>
      </c>
      <c r="J13" s="8">
        <v>25060</v>
      </c>
      <c r="K13" s="8">
        <v>25812</v>
      </c>
    </row>
    <row r="14" spans="1:11" ht="15.75" customHeight="1" x14ac:dyDescent="0.25">
      <c r="A14" s="6" t="s">
        <v>24</v>
      </c>
      <c r="B14" s="8">
        <v>55541</v>
      </c>
      <c r="C14" s="8">
        <v>58470</v>
      </c>
      <c r="D14" s="8">
        <v>64563</v>
      </c>
      <c r="E14" s="8">
        <v>70953</v>
      </c>
      <c r="F14" s="8">
        <v>75405</v>
      </c>
      <c r="G14" s="8">
        <v>78688</v>
      </c>
      <c r="H14" s="8">
        <v>77376</v>
      </c>
      <c r="I14" s="8">
        <v>80912</v>
      </c>
      <c r="J14" s="8">
        <v>87600</v>
      </c>
      <c r="K14" s="8">
        <v>92764</v>
      </c>
    </row>
    <row r="15" spans="1:11" ht="15.75" customHeight="1" x14ac:dyDescent="0.25">
      <c r="A15" s="6" t="s">
        <v>25</v>
      </c>
      <c r="B15" s="8">
        <v>12265</v>
      </c>
      <c r="C15" s="8">
        <v>13387</v>
      </c>
      <c r="D15" s="8">
        <v>15549</v>
      </c>
      <c r="E15" s="8">
        <v>15645</v>
      </c>
      <c r="F15" s="8">
        <v>17544</v>
      </c>
      <c r="G15" s="8">
        <v>18807</v>
      </c>
      <c r="H15" s="8">
        <v>17389</v>
      </c>
      <c r="I15" s="8">
        <v>18490</v>
      </c>
      <c r="J15" s="8">
        <v>19820</v>
      </c>
      <c r="K15" s="8">
        <v>19611</v>
      </c>
    </row>
    <row r="16" spans="1:11" ht="15.75" customHeight="1" x14ac:dyDescent="0.25">
      <c r="A16" s="6" t="s">
        <v>20</v>
      </c>
      <c r="B16" s="8">
        <v>4692</v>
      </c>
      <c r="C16" s="8">
        <v>4879</v>
      </c>
      <c r="D16" s="8">
        <v>4669</v>
      </c>
      <c r="E16" s="8">
        <v>4836</v>
      </c>
      <c r="F16" s="8">
        <v>5172</v>
      </c>
      <c r="G16" s="8">
        <v>4970</v>
      </c>
      <c r="H16" s="8">
        <v>4948</v>
      </c>
      <c r="I16" s="8">
        <v>5074</v>
      </c>
      <c r="J16" s="8">
        <v>5580</v>
      </c>
      <c r="K16" s="8">
        <v>5873</v>
      </c>
    </row>
    <row r="17" spans="1:11" ht="15.75" customHeight="1" x14ac:dyDescent="0.25">
      <c r="A17" s="6" t="s">
        <v>21</v>
      </c>
      <c r="B17" s="8">
        <v>13037</v>
      </c>
      <c r="C17" s="8">
        <v>14739</v>
      </c>
      <c r="D17" s="8">
        <v>15322</v>
      </c>
      <c r="E17" s="8">
        <v>15847</v>
      </c>
      <c r="F17" s="8">
        <v>16050</v>
      </c>
      <c r="G17" s="8">
        <v>16816</v>
      </c>
      <c r="H17" s="8">
        <v>16094</v>
      </c>
      <c r="I17" s="8">
        <v>16266</v>
      </c>
      <c r="J17" s="8">
        <v>17750</v>
      </c>
      <c r="K17" s="8">
        <v>18390</v>
      </c>
    </row>
    <row r="18" spans="1:11" ht="15.75" customHeight="1" x14ac:dyDescent="0.25">
      <c r="A18" s="6" t="s">
        <v>26</v>
      </c>
      <c r="B18" s="8">
        <v>1366</v>
      </c>
      <c r="C18" s="8">
        <v>1506</v>
      </c>
      <c r="D18" s="8">
        <v>1761</v>
      </c>
      <c r="E18" s="8">
        <v>2161</v>
      </c>
      <c r="F18" s="8">
        <v>2189</v>
      </c>
      <c r="G18" s="8">
        <v>2554</v>
      </c>
      <c r="H18" s="8">
        <v>2378</v>
      </c>
      <c r="I18" s="8">
        <v>2624</v>
      </c>
      <c r="J18" s="8">
        <v>2710</v>
      </c>
      <c r="K18" s="8">
        <v>2798</v>
      </c>
    </row>
  </sheetData>
  <conditionalFormatting sqref="C2:K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K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Importe becas</vt:lpstr>
      <vt:lpstr>Hoja1</vt:lpstr>
      <vt:lpstr>Comunidad Valenciana</vt:lpstr>
      <vt:lpstr>Becados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modified xsi:type="dcterms:W3CDTF">2019-11-30T15:30:40Z</dcterms:modified>
</cp:coreProperties>
</file>